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 Area por Unidad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<sst xmlns="http://schemas.openxmlformats.org/spreadsheetml/2006/main" count="34" uniqueCount="34">
  <si>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nm_unidade</t>
  </si>
  <si>
    <t xml:space="preserve">sum</t>
  </si>
  <si>
    <t xml:space="preserve">%</t>
  </si>
  <si>
    <t xml:space="preserve">count</t>
  </si>
  <si>
    <t xml:space="preserve">unique</t>
  </si>
  <si>
    <t xml:space="preserve">min</t>
  </si>
  <si>
    <t xml:space="preserve">max</t>
  </si>
  <si>
    <t xml:space="preserve">range</t>
  </si>
  <si>
    <t xml:space="preserve">mean</t>
  </si>
  <si>
    <t xml:space="preserve">median</t>
  </si>
  <si>
    <t xml:space="preserve">stddev</t>
  </si>
  <si>
    <t xml:space="preserve">minority</t>
  </si>
  <si>
    <t xml:space="preserve">majority</t>
  </si>
  <si>
    <t xml:space="preserve">q1</t>
  </si>
  <si>
    <t xml:space="preserve">q3</t>
  </si>
  <si>
    <t xml:space="preserve">iqr</t>
  </si>
  <si>
    <t xml:space="preserve">Corpo d'água continental</t>
  </si>
  <si>
    <t xml:space="preserve">Depressão dos Rios Pomba e Muriaé</t>
  </si>
  <si>
    <t xml:space="preserve">Serra do Caparaó</t>
  </si>
  <si>
    <t xml:space="preserve">Planícies e Terraços Fluviais</t>
  </si>
  <si>
    <t xml:space="preserve">Planícies Litorâneas</t>
  </si>
  <si>
    <t xml:space="preserve">Depressão do Rio Itapemirim</t>
  </si>
  <si>
    <t xml:space="preserve">Depressão Interplanáltica do Médio Rio Doce</t>
  </si>
  <si>
    <t xml:space="preserve">Delta do Rio Doce</t>
  </si>
  <si>
    <t xml:space="preserve">Colinas e Maciços Costeiros Capixabas</t>
  </si>
  <si>
    <t xml:space="preserve">Planalto da Pedra Azul Capixaba</t>
  </si>
  <si>
    <t xml:space="preserve">Morros e Montanhas do Centro-Sul Capixaba</t>
  </si>
  <si>
    <t xml:space="preserve">Patamar de Colinas Aplanadas do Mucuri e Adjacências</t>
  </si>
  <si>
    <t xml:space="preserve">Patamares Escalonados da Serra do Caparaó</t>
  </si>
  <si>
    <t xml:space="preserve">Pontões das Bacias dos Rios Doce e Itapemirim</t>
  </si>
  <si>
    <t xml:space="preserve">Bloco Montanhoso dos Pontões Capixabas e Mineiros</t>
  </si>
  <si>
    <t xml:space="preserve">Patamar do Centro-Norte Capixaba</t>
  </si>
  <si>
    <t xml:space="preserve">Tabuleiros Costeiros do Brasil Centro-Oriental</t>
  </si>
  <si>
    <t xml:space="preserve">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</si>
</sst>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49.55"/>
    <col collapsed="false" customWidth="true" hidden="false" outlineLevel="0" max="2" min="2" style="1" width="15"/>
    <col collapsed="false" customWidth="true" hidden="false" outlineLevel="0" max="3" min="3" style="2" width="12.47"/>
    <col collapsed="false" customWidth="true" hidden="false" outlineLevel="0" max="8" min="4" style="0" width="6.61"/>
    <col collapsed="false" customWidth="true" hidden="false" outlineLevel="0" max="16" min="9" style="0" width="7.26"/>
    <col collapsed="false" customWidth="true" hidden="false" outlineLevel="0" max="1025" min="17" style="0" width="15"/>
  </cols>
  <sheetData>
    <row r="1" customFormat="false" ht="12.8" hidden="false" customHeight="false" outlineLevel="0" collapsed="false">
      <c r="A1" s="0" t="s">
        <v>0</v>
      </c>
      <c r="B1" s="3" t="s">
        <v>1</v>
      </c>
      <c r="C1" s="4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3" t="n">
        <v>226.9226</v>
      </c>
      <c r="C2" s="4" t="n">
        <f aca="false">B2/$B$19</f>
        <v>0.00401876834697619</v>
      </c>
      <c r="D2" s="0" t="n">
        <v>189</v>
      </c>
      <c r="E2" s="0" t="n">
        <v>183</v>
      </c>
      <c r="F2" s="0" t="n">
        <v>0.0171</v>
      </c>
      <c r="G2" s="0" t="n">
        <v>62.7212</v>
      </c>
      <c r="H2" s="0" t="n">
        <v>62.7041</v>
      </c>
      <c r="I2" s="0" t="n">
        <v>1.20064867724868</v>
      </c>
      <c r="J2" s="0" t="n">
        <v>0.2109</v>
      </c>
      <c r="K2" s="0" t="n">
        <v>4.9364408325954</v>
      </c>
      <c r="L2" s="0" t="n">
        <v>0.0171</v>
      </c>
      <c r="M2" s="0" t="n">
        <v>0.0562</v>
      </c>
      <c r="N2" s="0" t="n">
        <v>0.0992</v>
      </c>
      <c r="O2" s="0" t="n">
        <v>0.5816</v>
      </c>
      <c r="P2" s="0" t="n">
        <v>0.4824</v>
      </c>
    </row>
    <row r="3" customFormat="false" ht="12.8" hidden="false" customHeight="false" outlineLevel="0" collapsed="false">
      <c r="A3" s="0" t="s">
        <v>17</v>
      </c>
      <c r="B3" s="3" t="n">
        <v>307.5674</v>
      </c>
      <c r="C3" s="4" t="n">
        <f aca="false">B3/$B$19</f>
        <v>0.00544697677393862</v>
      </c>
      <c r="D3" s="0" t="n">
        <v>9</v>
      </c>
      <c r="E3" s="0" t="n">
        <v>9</v>
      </c>
      <c r="F3" s="0" t="n">
        <v>2.7017</v>
      </c>
      <c r="G3" s="0" t="n">
        <v>194.8177</v>
      </c>
      <c r="H3" s="0" t="n">
        <v>192.116</v>
      </c>
      <c r="I3" s="0" t="n">
        <v>34.1741555555556</v>
      </c>
      <c r="J3" s="0" t="n">
        <v>13.3438</v>
      </c>
      <c r="K3" s="0" t="n">
        <v>57.4029544629138</v>
      </c>
      <c r="L3" s="0" t="n">
        <v>2.7017</v>
      </c>
      <c r="M3" s="0" t="n">
        <v>2.7017</v>
      </c>
      <c r="N3" s="0" t="n">
        <v>9.6627</v>
      </c>
      <c r="O3" s="0" t="n">
        <v>19.3875</v>
      </c>
      <c r="P3" s="0" t="n">
        <v>9.7248</v>
      </c>
    </row>
    <row r="4" customFormat="false" ht="12.8" hidden="false" customHeight="false" outlineLevel="0" collapsed="false">
      <c r="A4" s="0" t="s">
        <v>18</v>
      </c>
      <c r="B4" s="3" t="n">
        <v>437.1115</v>
      </c>
      <c r="C4" s="4" t="n">
        <f aca="false">B4/$B$19</f>
        <v>0.0077411851455046</v>
      </c>
      <c r="D4" s="0" t="n">
        <v>1</v>
      </c>
      <c r="E4" s="0" t="n">
        <v>1</v>
      </c>
      <c r="F4" s="0" t="n">
        <v>437.1115</v>
      </c>
      <c r="G4" s="0" t="n">
        <v>437.1115</v>
      </c>
      <c r="H4" s="0" t="n">
        <v>0</v>
      </c>
      <c r="I4" s="0" t="n">
        <v>437.1115</v>
      </c>
      <c r="J4" s="0" t="n">
        <v>437.1115</v>
      </c>
      <c r="K4" s="0" t="n">
        <v>0</v>
      </c>
      <c r="L4" s="0" t="n">
        <v>437.1115</v>
      </c>
      <c r="M4" s="0" t="n">
        <v>437.1115</v>
      </c>
      <c r="N4" s="0" t="n">
        <v>437.1115</v>
      </c>
      <c r="O4" s="0" t="n">
        <v>437.1115</v>
      </c>
      <c r="P4" s="0" t="n">
        <v>0</v>
      </c>
    </row>
    <row r="5" customFormat="false" ht="12.8" hidden="false" customHeight="false" outlineLevel="0" collapsed="false">
      <c r="A5" s="0" t="s">
        <v>19</v>
      </c>
      <c r="B5" s="3" t="n">
        <v>648.4484</v>
      </c>
      <c r="C5" s="4" t="n">
        <f aca="false">B5/$B$19</f>
        <v>0.011483932867715</v>
      </c>
      <c r="D5" s="0" t="n">
        <v>176</v>
      </c>
      <c r="E5" s="0" t="n">
        <v>176</v>
      </c>
      <c r="F5" s="0" t="n">
        <v>0.0494</v>
      </c>
      <c r="G5" s="0" t="n">
        <v>76.4079</v>
      </c>
      <c r="H5" s="0" t="n">
        <v>76.3585</v>
      </c>
      <c r="I5" s="0" t="n">
        <v>3.68436590909091</v>
      </c>
      <c r="J5" s="0" t="n">
        <v>1.29205</v>
      </c>
      <c r="K5" s="0" t="n">
        <v>9.12455971389711</v>
      </c>
      <c r="L5" s="0" t="n">
        <v>0.0494</v>
      </c>
      <c r="M5" s="0" t="n">
        <v>0.0494</v>
      </c>
      <c r="N5" s="0" t="n">
        <v>0.37265</v>
      </c>
      <c r="O5" s="0" t="n">
        <v>3.15335</v>
      </c>
      <c r="P5" s="0" t="n">
        <v>2.7807</v>
      </c>
    </row>
    <row r="6" customFormat="false" ht="12.8" hidden="false" customHeight="false" outlineLevel="0" collapsed="false">
      <c r="A6" s="0" t="s">
        <v>20</v>
      </c>
      <c r="B6" s="3" t="n">
        <v>660.8687</v>
      </c>
      <c r="C6" s="4" t="n">
        <f aca="false">B6/$B$19</f>
        <v>0.011703894689499</v>
      </c>
      <c r="D6" s="0" t="n">
        <v>57</v>
      </c>
      <c r="E6" s="0" t="n">
        <v>57</v>
      </c>
      <c r="F6" s="0" t="n">
        <v>0.0096</v>
      </c>
      <c r="G6" s="0" t="n">
        <v>87.3996</v>
      </c>
      <c r="H6" s="0" t="n">
        <v>87.39</v>
      </c>
      <c r="I6" s="0" t="n">
        <v>11.5941877192982</v>
      </c>
      <c r="J6" s="0" t="n">
        <v>1.9679</v>
      </c>
      <c r="K6" s="0" t="n">
        <v>18.9515118933156</v>
      </c>
      <c r="L6" s="0" t="n">
        <v>0.0096</v>
      </c>
      <c r="M6" s="0" t="n">
        <v>0.0096</v>
      </c>
      <c r="N6" s="0" t="n">
        <v>0.5789</v>
      </c>
      <c r="O6" s="0" t="n">
        <v>14.0275</v>
      </c>
      <c r="P6" s="0" t="n">
        <v>13.4486</v>
      </c>
    </row>
    <row r="7" customFormat="false" ht="12.8" hidden="false" customHeight="false" outlineLevel="0" collapsed="false">
      <c r="A7" s="0" t="s">
        <v>21</v>
      </c>
      <c r="B7" s="3" t="n">
        <v>926.8859</v>
      </c>
      <c r="C7" s="4" t="n">
        <f aca="false">B7/$B$19</f>
        <v>0.0164150230791404</v>
      </c>
      <c r="D7" s="0" t="n">
        <v>11</v>
      </c>
      <c r="E7" s="0" t="n">
        <v>11</v>
      </c>
      <c r="F7" s="0" t="n">
        <v>11.2976</v>
      </c>
      <c r="G7" s="0" t="n">
        <v>478.7924</v>
      </c>
      <c r="H7" s="0" t="n">
        <v>467.4948</v>
      </c>
      <c r="I7" s="0" t="n">
        <v>84.2623545454545</v>
      </c>
      <c r="J7" s="0" t="n">
        <v>35.2043</v>
      </c>
      <c r="K7" s="0" t="n">
        <v>130.133467455863</v>
      </c>
      <c r="L7" s="0" t="n">
        <v>11.2976</v>
      </c>
      <c r="M7" s="0" t="n">
        <v>11.2976</v>
      </c>
      <c r="N7" s="0" t="n">
        <v>23.28705</v>
      </c>
      <c r="O7" s="0" t="n">
        <v>60.76995</v>
      </c>
      <c r="P7" s="0" t="n">
        <v>37.4829</v>
      </c>
    </row>
    <row r="8" customFormat="false" ht="12.8" hidden="false" customHeight="false" outlineLevel="0" collapsed="false">
      <c r="A8" s="0" t="s">
        <v>22</v>
      </c>
      <c r="B8" s="3" t="n">
        <v>1709.2676</v>
      </c>
      <c r="C8" s="4" t="n">
        <f aca="false">B8/$B$19</f>
        <v>0.0302708964527639</v>
      </c>
      <c r="D8" s="0" t="n">
        <v>15</v>
      </c>
      <c r="E8" s="0" t="n">
        <v>15</v>
      </c>
      <c r="F8" s="0" t="n">
        <v>15.1922</v>
      </c>
      <c r="G8" s="0" t="n">
        <v>775.6243</v>
      </c>
      <c r="H8" s="0" t="n">
        <v>760.4321</v>
      </c>
      <c r="I8" s="0" t="n">
        <v>113.951173333333</v>
      </c>
      <c r="J8" s="0" t="n">
        <v>62.6404</v>
      </c>
      <c r="K8" s="0" t="n">
        <v>184.372536693849</v>
      </c>
      <c r="L8" s="0" t="n">
        <v>15.1922</v>
      </c>
      <c r="M8" s="0" t="n">
        <v>15.1922</v>
      </c>
      <c r="N8" s="0" t="n">
        <v>23.5776</v>
      </c>
      <c r="O8" s="0" t="n">
        <v>104.1493</v>
      </c>
      <c r="P8" s="0" t="n">
        <v>80.5717</v>
      </c>
    </row>
    <row r="9" customFormat="false" ht="12.8" hidden="false" customHeight="false" outlineLevel="0" collapsed="false">
      <c r="A9" s="0" t="s">
        <v>23</v>
      </c>
      <c r="B9" s="3" t="n">
        <v>2428.354</v>
      </c>
      <c r="C9" s="4" t="n">
        <f aca="false">B9/$B$19</f>
        <v>0.043005818682022</v>
      </c>
      <c r="D9" s="0" t="n">
        <v>44</v>
      </c>
      <c r="E9" s="0" t="n">
        <v>44</v>
      </c>
      <c r="F9" s="0" t="n">
        <v>0.0763</v>
      </c>
      <c r="G9" s="0" t="n">
        <v>792.5331</v>
      </c>
      <c r="H9" s="0" t="n">
        <v>792.4568</v>
      </c>
      <c r="I9" s="0" t="n">
        <v>55.1898636363636</v>
      </c>
      <c r="J9" s="0" t="n">
        <v>5.0768</v>
      </c>
      <c r="K9" s="0" t="n">
        <v>136.914125547996</v>
      </c>
      <c r="L9" s="0" t="n">
        <v>0.0763</v>
      </c>
      <c r="M9" s="0" t="n">
        <v>0.0763</v>
      </c>
      <c r="N9" s="0" t="n">
        <v>0.89415</v>
      </c>
      <c r="O9" s="0" t="n">
        <v>21.81575</v>
      </c>
      <c r="P9" s="0" t="n">
        <v>20.9216</v>
      </c>
    </row>
    <row r="10" customFormat="false" ht="12.8" hidden="false" customHeight="false" outlineLevel="0" collapsed="false">
      <c r="A10" s="0" t="s">
        <v>24</v>
      </c>
      <c r="B10" s="3" t="n">
        <v>2487.4248</v>
      </c>
      <c r="C10" s="4" t="n">
        <f aca="false">B10/$B$19</f>
        <v>0.0440519545066184</v>
      </c>
      <c r="D10" s="0" t="n">
        <v>68</v>
      </c>
      <c r="E10" s="0" t="n">
        <v>68</v>
      </c>
      <c r="F10" s="0" t="n">
        <v>0.1307</v>
      </c>
      <c r="G10" s="0" t="n">
        <v>559.1259</v>
      </c>
      <c r="H10" s="0" t="n">
        <v>558.9952</v>
      </c>
      <c r="I10" s="0" t="n">
        <v>36.5797764705882</v>
      </c>
      <c r="J10" s="0" t="n">
        <v>4.5898</v>
      </c>
      <c r="K10" s="0" t="n">
        <v>83.7914177309174</v>
      </c>
      <c r="L10" s="0" t="n">
        <v>0.1307</v>
      </c>
      <c r="M10" s="0" t="n">
        <v>0.1307</v>
      </c>
      <c r="N10" s="0" t="n">
        <v>1.39625</v>
      </c>
      <c r="O10" s="0" t="n">
        <v>22.947</v>
      </c>
      <c r="P10" s="0" t="n">
        <v>21.55075</v>
      </c>
    </row>
    <row r="11" customFormat="false" ht="12.8" hidden="false" customHeight="false" outlineLevel="0" collapsed="false">
      <c r="A11" s="0" t="s">
        <v>25</v>
      </c>
      <c r="B11" s="3" t="n">
        <v>3255.5381</v>
      </c>
      <c r="C11" s="4" t="n">
        <f aca="false">B11/$B$19</f>
        <v>0.0576551364591054</v>
      </c>
      <c r="D11" s="0" t="n">
        <v>10</v>
      </c>
      <c r="E11" s="0" t="n">
        <v>10</v>
      </c>
      <c r="F11" s="0" t="n">
        <v>23.6814</v>
      </c>
      <c r="G11" s="0" t="n">
        <v>2408.8574</v>
      </c>
      <c r="H11" s="0" t="n">
        <v>2385.176</v>
      </c>
      <c r="I11" s="0" t="n">
        <v>325.55381</v>
      </c>
      <c r="J11" s="0" t="n">
        <v>94.74985</v>
      </c>
      <c r="K11" s="0" t="n">
        <v>696.522617251481</v>
      </c>
      <c r="L11" s="0" t="n">
        <v>23.6814</v>
      </c>
      <c r="M11" s="0" t="n">
        <v>23.6814</v>
      </c>
      <c r="N11" s="0" t="n">
        <v>51.4007</v>
      </c>
      <c r="O11" s="0" t="n">
        <v>154.4965</v>
      </c>
      <c r="P11" s="0" t="n">
        <v>103.0958</v>
      </c>
    </row>
    <row r="12" customFormat="false" ht="12.8" hidden="false" customHeight="false" outlineLevel="0" collapsed="false">
      <c r="A12" s="0" t="s">
        <v>26</v>
      </c>
      <c r="B12" s="3" t="n">
        <v>3524.462</v>
      </c>
      <c r="C12" s="4" t="n">
        <f aca="false">B12/$B$19</f>
        <v>0.0624177421099546</v>
      </c>
      <c r="D12" s="0" t="n">
        <v>27</v>
      </c>
      <c r="E12" s="0" t="n">
        <v>27</v>
      </c>
      <c r="F12" s="0" t="n">
        <v>4.581</v>
      </c>
      <c r="G12" s="0" t="n">
        <v>565.6497</v>
      </c>
      <c r="H12" s="0" t="n">
        <v>561.0687</v>
      </c>
      <c r="I12" s="0" t="n">
        <v>130.53562962963</v>
      </c>
      <c r="J12" s="0" t="n">
        <v>74.6114</v>
      </c>
      <c r="K12" s="0" t="n">
        <v>141.667281962886</v>
      </c>
      <c r="L12" s="0" t="n">
        <v>4.581</v>
      </c>
      <c r="M12" s="0" t="n">
        <v>4.581</v>
      </c>
      <c r="N12" s="0" t="n">
        <v>35.33715</v>
      </c>
      <c r="O12" s="0" t="n">
        <v>179.2395</v>
      </c>
      <c r="P12" s="0" t="n">
        <v>143.90235</v>
      </c>
    </row>
    <row r="13" customFormat="false" ht="12.8" hidden="false" customHeight="false" outlineLevel="0" collapsed="false">
      <c r="A13" s="0" t="s">
        <v>27</v>
      </c>
      <c r="B13" s="3" t="n">
        <v>4157.1322</v>
      </c>
      <c r="C13" s="4" t="n">
        <f aca="false">B13/$B$19</f>
        <v>0.0736222452041157</v>
      </c>
      <c r="D13" s="0" t="n">
        <v>18</v>
      </c>
      <c r="E13" s="0" t="n">
        <v>18</v>
      </c>
      <c r="F13" s="0" t="n">
        <v>21.6022</v>
      </c>
      <c r="G13" s="0" t="n">
        <v>1954.2488</v>
      </c>
      <c r="H13" s="0" t="n">
        <v>1932.6466</v>
      </c>
      <c r="I13" s="0" t="n">
        <v>230.951788888889</v>
      </c>
      <c r="J13" s="0" t="n">
        <v>56.2525</v>
      </c>
      <c r="K13" s="0" t="n">
        <v>458.479571526155</v>
      </c>
      <c r="L13" s="0" t="n">
        <v>21.6022</v>
      </c>
      <c r="M13" s="0" t="n">
        <v>21.6022</v>
      </c>
      <c r="N13" s="0" t="n">
        <v>38.1038</v>
      </c>
      <c r="O13" s="0" t="n">
        <v>109.7765</v>
      </c>
      <c r="P13" s="0" t="n">
        <v>71.6727</v>
      </c>
    </row>
    <row r="14" customFormat="false" ht="12.8" hidden="false" customHeight="false" outlineLevel="0" collapsed="false">
      <c r="A14" s="0" t="s">
        <v>28</v>
      </c>
      <c r="B14" s="3" t="n">
        <v>4759.1897</v>
      </c>
      <c r="C14" s="4" t="n">
        <f aca="false">B14/$B$19</f>
        <v>0.0842846015496698</v>
      </c>
      <c r="D14" s="0" t="n">
        <v>14</v>
      </c>
      <c r="E14" s="0" t="n">
        <v>14</v>
      </c>
      <c r="F14" s="0" t="n">
        <v>32.2433</v>
      </c>
      <c r="G14" s="0" t="n">
        <v>1465.2816</v>
      </c>
      <c r="H14" s="0" t="n">
        <v>1433.0383</v>
      </c>
      <c r="I14" s="0" t="n">
        <v>339.942121428571</v>
      </c>
      <c r="J14" s="0" t="n">
        <v>124.9525</v>
      </c>
      <c r="K14" s="0" t="n">
        <v>395.167376746702</v>
      </c>
      <c r="L14" s="0" t="n">
        <v>32.2433</v>
      </c>
      <c r="M14" s="0" t="n">
        <v>32.2433</v>
      </c>
      <c r="N14" s="0" t="n">
        <v>69.1731</v>
      </c>
      <c r="O14" s="0" t="n">
        <v>557.1211</v>
      </c>
      <c r="P14" s="0" t="n">
        <v>487.948</v>
      </c>
    </row>
    <row r="15" customFormat="false" ht="12.8" hidden="false" customHeight="false" outlineLevel="0" collapsed="false">
      <c r="A15" s="0" t="s">
        <v>29</v>
      </c>
      <c r="B15" s="3" t="n">
        <v>6061.5681</v>
      </c>
      <c r="C15" s="4" t="n">
        <f aca="false">B15/$B$19</f>
        <v>0.107349545674695</v>
      </c>
      <c r="D15" s="0" t="n">
        <v>69</v>
      </c>
      <c r="E15" s="0" t="n">
        <v>69</v>
      </c>
      <c r="F15" s="0" t="n">
        <v>0.0095</v>
      </c>
      <c r="G15" s="0" t="n">
        <v>555.2927</v>
      </c>
      <c r="H15" s="0" t="n">
        <v>555.2832</v>
      </c>
      <c r="I15" s="0" t="n">
        <v>87.8488130434783</v>
      </c>
      <c r="J15" s="0" t="n">
        <v>54.9297</v>
      </c>
      <c r="K15" s="0" t="n">
        <v>100.437772350909</v>
      </c>
      <c r="L15" s="0" t="n">
        <v>0.0095</v>
      </c>
      <c r="M15" s="0" t="n">
        <v>0.0095</v>
      </c>
      <c r="N15" s="0" t="n">
        <v>15.1616</v>
      </c>
      <c r="O15" s="0" t="n">
        <v>127.8551</v>
      </c>
      <c r="P15" s="0" t="n">
        <v>112.6935</v>
      </c>
    </row>
    <row r="16" customFormat="false" ht="12.8" hidden="false" customHeight="false" outlineLevel="0" collapsed="false">
      <c r="A16" s="0" t="s">
        <v>30</v>
      </c>
      <c r="B16" s="3" t="n">
        <v>6072.0612</v>
      </c>
      <c r="C16" s="4" t="n">
        <f aca="false">B16/$B$19</f>
        <v>0.107535377046897</v>
      </c>
      <c r="D16" s="0" t="n">
        <v>23</v>
      </c>
      <c r="E16" s="0" t="n">
        <v>23</v>
      </c>
      <c r="F16" s="0" t="n">
        <v>13.5292</v>
      </c>
      <c r="G16" s="0" t="n">
        <v>970.9108</v>
      </c>
      <c r="H16" s="0" t="n">
        <v>957.3816</v>
      </c>
      <c r="I16" s="0" t="n">
        <v>264.002660869565</v>
      </c>
      <c r="J16" s="0" t="n">
        <v>102.6597</v>
      </c>
      <c r="K16" s="0" t="n">
        <v>300.77863636041</v>
      </c>
      <c r="L16" s="0" t="n">
        <v>13.5292</v>
      </c>
      <c r="M16" s="0" t="n">
        <v>13.5292</v>
      </c>
      <c r="N16" s="0" t="n">
        <v>40.0194</v>
      </c>
      <c r="O16" s="0" t="n">
        <v>430.6577</v>
      </c>
      <c r="P16" s="0" t="n">
        <v>390.6383</v>
      </c>
    </row>
    <row r="17" customFormat="false" ht="12.8" hidden="false" customHeight="false" outlineLevel="0" collapsed="false">
      <c r="A17" s="0" t="s">
        <v>31</v>
      </c>
      <c r="B17" s="3" t="n">
        <v>6891.5349</v>
      </c>
      <c r="C17" s="4" t="n">
        <f aca="false">B17/$B$19</f>
        <v>0.122048144689871</v>
      </c>
      <c r="D17" s="0" t="n">
        <v>50</v>
      </c>
      <c r="E17" s="0" t="n">
        <v>50</v>
      </c>
      <c r="F17" s="0" t="n">
        <v>0.6868</v>
      </c>
      <c r="G17" s="0" t="n">
        <v>869.3822</v>
      </c>
      <c r="H17" s="0" t="n">
        <v>868.6954</v>
      </c>
      <c r="I17" s="0" t="n">
        <v>137.830698</v>
      </c>
      <c r="J17" s="0" t="n">
        <v>64.8511</v>
      </c>
      <c r="K17" s="0" t="n">
        <v>189.556921857226</v>
      </c>
      <c r="L17" s="0" t="n">
        <v>0.6868</v>
      </c>
      <c r="M17" s="0" t="n">
        <v>0.6868</v>
      </c>
      <c r="N17" s="0" t="n">
        <v>29.2314</v>
      </c>
      <c r="O17" s="0" t="n">
        <v>150.4184</v>
      </c>
      <c r="P17" s="0" t="n">
        <v>121.187</v>
      </c>
    </row>
    <row r="18" customFormat="false" ht="12.8" hidden="false" customHeight="false" outlineLevel="0" collapsed="false">
      <c r="A18" s="0" t="s">
        <v>32</v>
      </c>
      <c r="B18" s="3" t="n">
        <v>11911.3709</v>
      </c>
      <c r="C18" s="4" t="n">
        <f aca="false">B18/$B$19</f>
        <v>0.210948756721513</v>
      </c>
      <c r="D18" s="0" t="n">
        <v>95</v>
      </c>
      <c r="E18" s="0" t="n">
        <v>95</v>
      </c>
      <c r="F18" s="0" t="n">
        <v>0.569</v>
      </c>
      <c r="G18" s="0" t="n">
        <v>2606.9164</v>
      </c>
      <c r="H18" s="0" t="n">
        <v>2606.3474</v>
      </c>
      <c r="I18" s="0" t="n">
        <v>125.382851578947</v>
      </c>
      <c r="J18" s="0" t="n">
        <v>32.4257</v>
      </c>
      <c r="K18" s="0" t="n">
        <v>339.206417167812</v>
      </c>
      <c r="L18" s="0" t="n">
        <v>0.569</v>
      </c>
      <c r="M18" s="0" t="n">
        <v>0.569</v>
      </c>
      <c r="N18" s="0" t="n">
        <v>8.74585</v>
      </c>
      <c r="O18" s="0" t="n">
        <v>81.5083</v>
      </c>
      <c r="P18" s="0" t="n">
        <v>72.76245</v>
      </c>
    </row>
    <row r="19" customFormat="false" ht="12.8" hidden="false" customHeight="false" outlineLevel="0" collapsed="false">
      <c r="A19" s="5" t="s">
        <v>33</v>
      </c>
      <c r="B19" s="6" t="n">
        <f aca="false">SUM(B2:B18)</f>
        <v>56465.708</v>
      </c>
      <c r="C19" s="7" t="n">
        <f aca="false">SUM(C2:C18)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2025-03-25T12:26:43Z</dcterms:modified>
  <cp:revision>1</cp:revision>
  <dc:subject/>
  <dc:title/>
</cp:coreProperties>
</file>