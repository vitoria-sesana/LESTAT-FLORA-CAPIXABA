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ma Area_Domini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<sst xmlns="http://schemas.openxmlformats.org/spreadsheetml/2006/main" count="21" uniqueCount="21">
  <si>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 xml:space="preserve">nm_dominio</t>
  </si>
  <si>
    <t xml:space="preserve">sum</t>
  </si>
  <si>
    <t xml:space="preserve">%</t>
  </si>
  <si>
    <t xml:space="preserve">count</t>
  </si>
  <si>
    <t xml:space="preserve">unique</t>
  </si>
  <si>
    <t xml:space="preserve">min</t>
  </si>
  <si>
    <t xml:space="preserve">max</t>
  </si>
  <si>
    <t xml:space="preserve">range</t>
  </si>
  <si>
    <t xml:space="preserve">mean</t>
  </si>
  <si>
    <t xml:space="preserve">median</t>
  </si>
  <si>
    <t xml:space="preserve">stddev</t>
  </si>
  <si>
    <t xml:space="preserve">minority</t>
  </si>
  <si>
    <t xml:space="preserve">majority</t>
  </si>
  <si>
    <t xml:space="preserve">q1</t>
  </si>
  <si>
    <t xml:space="preserve">q3</t>
  </si>
  <si>
    <t xml:space="preserve">iqr</t>
  </si>
  <si>
    <t xml:space="preserve">Corpo d'água continental</t>
  </si>
  <si>
    <t xml:space="preserve">Depósitos Sedimentares Quaternários</t>
  </si>
  <si>
    <t xml:space="preserve">Bacias e Coberturas Sedimentares Fanerozóicas</t>
  </si>
  <si>
    <t xml:space="preserve">Cinturões Móveis Neoproterozóicos</t>
  </si>
  <si>
    <t xml:space="preserve">Total: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</si>
</sst>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%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5078125" defaultRowHeight="12.8" zeroHeight="false" outlineLevelRow="0" outlineLevelCol="0"/>
  <cols>
    <col collapsed="false" customWidth="true" hidden="false" outlineLevel="0" max="1" min="1" style="1" width="42.94"/>
    <col collapsed="false" customWidth="true" hidden="false" outlineLevel="0" max="2" min="2" style="2" width="13.66"/>
    <col collapsed="false" customWidth="true" hidden="false" outlineLevel="0" max="3" min="3" style="3" width="13.44"/>
    <col collapsed="false" customWidth="true" hidden="false" outlineLevel="0" max="8" min="4" style="1" width="5.85"/>
    <col collapsed="false" customWidth="true" hidden="false" outlineLevel="0" max="16" min="9" style="1" width="7.04"/>
    <col collapsed="false" customWidth="true" hidden="false" outlineLevel="0" max="1025" min="17" style="1" width="15"/>
  </cols>
  <sheetData>
    <row r="1" customFormat="false" ht="12.8" hidden="false" customHeight="false" outlineLevel="0" collapsed="false">
      <c r="A1" s="1" t="s">
        <v>0</v>
      </c>
      <c r="B1" s="4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2.8" hidden="false" customHeight="false" outlineLevel="0" collapsed="false">
      <c r="A2" s="1" t="s">
        <v>16</v>
      </c>
      <c r="B2" s="4" t="n">
        <v>226.9226</v>
      </c>
      <c r="C2" s="5" t="n">
        <f aca="false">B2/$B$6</f>
        <v>0.00401876834697619</v>
      </c>
      <c r="D2" s="1" t="n">
        <v>189</v>
      </c>
      <c r="E2" s="1" t="n">
        <v>183</v>
      </c>
      <c r="F2" s="1" t="n">
        <v>0.0171</v>
      </c>
      <c r="G2" s="1" t="n">
        <v>62.7212</v>
      </c>
      <c r="H2" s="1" t="n">
        <v>62.7041</v>
      </c>
      <c r="I2" s="1" t="n">
        <v>1.20064867724868</v>
      </c>
      <c r="J2" s="1" t="n">
        <v>0.2109</v>
      </c>
      <c r="K2" s="1" t="n">
        <v>4.9364408325954</v>
      </c>
      <c r="L2" s="1" t="n">
        <v>0.0171</v>
      </c>
      <c r="M2" s="1" t="n">
        <v>0.0562</v>
      </c>
      <c r="N2" s="1" t="n">
        <v>0.0992</v>
      </c>
      <c r="O2" s="1" t="n">
        <v>0.5816</v>
      </c>
      <c r="P2" s="1" t="n">
        <v>0.4824</v>
      </c>
    </row>
    <row r="3" customFormat="false" ht="12.8" hidden="false" customHeight="false" outlineLevel="0" collapsed="false">
      <c r="A3" s="1" t="s">
        <v>17</v>
      </c>
      <c r="B3" s="4" t="n">
        <v>3737.6711</v>
      </c>
      <c r="C3" s="5" t="n">
        <f aca="false">B3/$B$6</f>
        <v>0.066193646239236</v>
      </c>
      <c r="D3" s="1" t="n">
        <v>277</v>
      </c>
      <c r="E3" s="1" t="n">
        <v>276</v>
      </c>
      <c r="F3" s="1" t="n">
        <v>0.0096</v>
      </c>
      <c r="G3" s="1" t="n">
        <v>792.5331</v>
      </c>
      <c r="H3" s="1" t="n">
        <v>792.5235</v>
      </c>
      <c r="I3" s="1" t="n">
        <v>13.4933974729242</v>
      </c>
      <c r="J3" s="1" t="n">
        <v>1.6379</v>
      </c>
      <c r="K3" s="1" t="n">
        <v>58.6725745432772</v>
      </c>
      <c r="L3" s="1" t="n">
        <v>0.0096</v>
      </c>
      <c r="M3" s="1" t="n">
        <v>2.1253</v>
      </c>
      <c r="N3" s="1" t="n">
        <v>0.4595</v>
      </c>
      <c r="O3" s="1" t="n">
        <v>5.1745</v>
      </c>
      <c r="P3" s="1" t="n">
        <v>4.715</v>
      </c>
    </row>
    <row r="4" customFormat="false" ht="12.8" hidden="false" customHeight="false" outlineLevel="0" collapsed="false">
      <c r="A4" s="1" t="s">
        <v>18</v>
      </c>
      <c r="B4" s="4" t="n">
        <v>11911.3709</v>
      </c>
      <c r="C4" s="5" t="n">
        <f aca="false">B4/$B$6</f>
        <v>0.210948756721513</v>
      </c>
      <c r="D4" s="1" t="n">
        <v>95</v>
      </c>
      <c r="E4" s="1" t="n">
        <v>95</v>
      </c>
      <c r="F4" s="1" t="n">
        <v>0.569</v>
      </c>
      <c r="G4" s="1" t="n">
        <v>2606.9164</v>
      </c>
      <c r="H4" s="1" t="n">
        <v>2606.3474</v>
      </c>
      <c r="I4" s="1" t="n">
        <v>125.382851578947</v>
      </c>
      <c r="J4" s="1" t="n">
        <v>32.4257</v>
      </c>
      <c r="K4" s="1" t="n">
        <v>339.206417167812</v>
      </c>
      <c r="L4" s="1" t="n">
        <v>0.569</v>
      </c>
      <c r="M4" s="1" t="n">
        <v>0.569</v>
      </c>
      <c r="N4" s="1" t="n">
        <v>8.74585</v>
      </c>
      <c r="O4" s="1" t="n">
        <v>81.5083</v>
      </c>
      <c r="P4" s="1" t="n">
        <v>72.76245</v>
      </c>
    </row>
    <row r="5" customFormat="false" ht="12.8" hidden="false" customHeight="false" outlineLevel="0" collapsed="false">
      <c r="A5" s="1" t="s">
        <v>19</v>
      </c>
      <c r="B5" s="4" t="n">
        <v>40589.7434</v>
      </c>
      <c r="C5" s="5" t="n">
        <f aca="false">B5/$B$6</f>
        <v>0.718838828692275</v>
      </c>
      <c r="D5" s="1" t="n">
        <v>315</v>
      </c>
      <c r="E5" s="1" t="n">
        <v>315</v>
      </c>
      <c r="F5" s="1" t="n">
        <v>0.0095</v>
      </c>
      <c r="G5" s="1" t="n">
        <v>2408.8574</v>
      </c>
      <c r="H5" s="1" t="n">
        <v>2408.8479</v>
      </c>
      <c r="I5" s="1" t="n">
        <v>128.856328253968</v>
      </c>
      <c r="J5" s="1" t="n">
        <v>48.0896</v>
      </c>
      <c r="K5" s="1" t="n">
        <v>249.814670417972</v>
      </c>
      <c r="L5" s="1" t="n">
        <v>0.0095</v>
      </c>
      <c r="M5" s="1" t="n">
        <v>0.0095</v>
      </c>
      <c r="N5" s="1" t="n">
        <v>12.4014</v>
      </c>
      <c r="O5" s="1" t="n">
        <v>128.12305</v>
      </c>
      <c r="P5" s="1" t="n">
        <v>115.72165</v>
      </c>
    </row>
    <row r="6" customFormat="false" ht="12.8" hidden="false" customHeight="false" outlineLevel="0" collapsed="false">
      <c r="A6" s="6" t="s">
        <v>20</v>
      </c>
      <c r="B6" s="4" t="n">
        <f aca="false">SUM(B2:B5)</f>
        <v>56465.708</v>
      </c>
      <c r="C6" s="5" t="n">
        <f aca="false">SUM(C2:C5)</f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2025-03-25T12:27:07Z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