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tsticas_por_categor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<sst xmlns="http://schemas.openxmlformats.org/spreadsheetml/2006/main" count="24" uniqueCount="24">
  <si>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compartime</t>
  </si>
  <si>
    <t xml:space="preserve">sum</t>
  </si>
  <si>
    <t xml:space="preserve">%</t>
  </si>
  <si>
    <t xml:space="preserve">count</t>
  </si>
  <si>
    <t xml:space="preserve">unique</t>
  </si>
  <si>
    <t xml:space="preserve">min</t>
  </si>
  <si>
    <t xml:space="preserve">max</t>
  </si>
  <si>
    <t xml:space="preserve">range</t>
  </si>
  <si>
    <t xml:space="preserve">mean</t>
  </si>
  <si>
    <t xml:space="preserve">median</t>
  </si>
  <si>
    <t xml:space="preserve">stddev</t>
  </si>
  <si>
    <t xml:space="preserve">minority</t>
  </si>
  <si>
    <t xml:space="preserve">majority</t>
  </si>
  <si>
    <t xml:space="preserve">q1</t>
  </si>
  <si>
    <t xml:space="preserve">q3</t>
  </si>
  <si>
    <t xml:space="preserve">iqr</t>
  </si>
  <si>
    <t xml:space="preserve">Corpo d'água continental</t>
  </si>
  <si>
    <t xml:space="preserve">Depressões</t>
  </si>
  <si>
    <t xml:space="preserve">Planaltos</t>
  </si>
  <si>
    <t xml:space="preserve">Planícies</t>
  </si>
  <si>
    <t xml:space="preserve">Tabuleiros</t>
  </si>
  <si>
    <t xml:space="preserve">Serras</t>
  </si>
  <si>
    <t xml:space="preserve">Patamares</t>
  </si>
  <si>
    <t xml:space="preserve">Total: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</si>
</sst>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2" width="15"/>
    <col collapsed="false" customWidth="true" hidden="false" outlineLevel="0" max="3" min="3" style="3" width="11.81"/>
    <col collapsed="false" customWidth="true" hidden="false" outlineLevel="0" max="8" min="4" style="1" width="7.16"/>
    <col collapsed="false" customWidth="true" hidden="false" outlineLevel="0" max="16" min="9" style="1" width="8.02"/>
    <col collapsed="false" customWidth="true" hidden="false" outlineLevel="0" max="1025" min="17" style="1" width="15"/>
  </cols>
  <sheetData>
    <row r="1" customFormat="false" ht="12.8" hidden="false" customHeight="false" outlineLevel="0" collapsed="false">
      <c r="A1" s="1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s">
        <v>16</v>
      </c>
      <c r="B2" s="4" t="n">
        <v>226.9226</v>
      </c>
      <c r="C2" s="5" t="n">
        <f aca="false">B2/$B$9</f>
        <v>0.00401876834697619</v>
      </c>
      <c r="D2" s="1" t="n">
        <v>189</v>
      </c>
      <c r="E2" s="1" t="n">
        <v>183</v>
      </c>
      <c r="F2" s="1" t="n">
        <v>0.0171</v>
      </c>
      <c r="G2" s="1" t="n">
        <v>62.7212</v>
      </c>
      <c r="H2" s="1" t="n">
        <v>62.7041</v>
      </c>
      <c r="I2" s="1" t="n">
        <v>1.20064867724868</v>
      </c>
      <c r="J2" s="1" t="n">
        <v>0.2109</v>
      </c>
      <c r="K2" s="1" t="n">
        <v>4.9364408325954</v>
      </c>
      <c r="L2" s="1" t="n">
        <v>0.0171</v>
      </c>
      <c r="M2" s="1" t="n">
        <v>0.0562</v>
      </c>
      <c r="N2" s="1" t="n">
        <v>0.0992</v>
      </c>
      <c r="O2" s="1" t="n">
        <v>0.5816</v>
      </c>
      <c r="P2" s="1" t="n">
        <v>0.4824</v>
      </c>
    </row>
    <row r="3" customFormat="false" ht="12.8" hidden="false" customHeight="false" outlineLevel="0" collapsed="false">
      <c r="A3" s="1" t="s">
        <v>17</v>
      </c>
      <c r="B3" s="4" t="n">
        <v>2943.7209</v>
      </c>
      <c r="C3" s="5" t="n">
        <f aca="false">B3/$B$9</f>
        <v>0.0521328963058428</v>
      </c>
      <c r="D3" s="1" t="n">
        <v>35</v>
      </c>
      <c r="E3" s="1" t="n">
        <v>35</v>
      </c>
      <c r="F3" s="1" t="n">
        <v>2.7017</v>
      </c>
      <c r="G3" s="1" t="n">
        <v>775.6243</v>
      </c>
      <c r="H3" s="1" t="n">
        <v>772.9226</v>
      </c>
      <c r="I3" s="1" t="n">
        <v>84.1063114285714</v>
      </c>
      <c r="J3" s="1" t="n">
        <v>32.5999</v>
      </c>
      <c r="K3" s="1" t="n">
        <v>147.51622439518</v>
      </c>
      <c r="L3" s="1" t="n">
        <v>2.7017</v>
      </c>
      <c r="M3" s="1" t="n">
        <v>2.7017</v>
      </c>
      <c r="N3" s="1" t="n">
        <v>15.2938</v>
      </c>
      <c r="O3" s="1" t="n">
        <v>79.99395</v>
      </c>
      <c r="P3" s="1" t="n">
        <v>64.70015</v>
      </c>
    </row>
    <row r="4" customFormat="false" ht="12.8" hidden="false" customHeight="false" outlineLevel="0" collapsed="false">
      <c r="A4" s="1" t="s">
        <v>18</v>
      </c>
      <c r="B4" s="4" t="n">
        <v>3255.5381</v>
      </c>
      <c r="C4" s="5" t="n">
        <f aca="false">B4/$B$9</f>
        <v>0.0576551364591054</v>
      </c>
      <c r="D4" s="1" t="n">
        <v>10</v>
      </c>
      <c r="E4" s="1" t="n">
        <v>10</v>
      </c>
      <c r="F4" s="1" t="n">
        <v>23.6814</v>
      </c>
      <c r="G4" s="1" t="n">
        <v>2408.8574</v>
      </c>
      <c r="H4" s="1" t="n">
        <v>2385.176</v>
      </c>
      <c r="I4" s="1" t="n">
        <v>325.55381</v>
      </c>
      <c r="J4" s="1" t="n">
        <v>94.74985</v>
      </c>
      <c r="K4" s="1" t="n">
        <v>696.522617251481</v>
      </c>
      <c r="L4" s="1" t="n">
        <v>23.6814</v>
      </c>
      <c r="M4" s="1" t="n">
        <v>23.6814</v>
      </c>
      <c r="N4" s="1" t="n">
        <v>51.4007</v>
      </c>
      <c r="O4" s="1" t="n">
        <v>154.4965</v>
      </c>
      <c r="P4" s="1" t="n">
        <v>103.0958</v>
      </c>
    </row>
    <row r="5" customFormat="false" ht="12.8" hidden="false" customHeight="false" outlineLevel="0" collapsed="false">
      <c r="A5" s="1" t="s">
        <v>19</v>
      </c>
      <c r="B5" s="4" t="n">
        <v>3737.6711</v>
      </c>
      <c r="C5" s="5" t="n">
        <f aca="false">B5/$B$9</f>
        <v>0.066193646239236</v>
      </c>
      <c r="D5" s="1" t="n">
        <v>277</v>
      </c>
      <c r="E5" s="1" t="n">
        <v>276</v>
      </c>
      <c r="F5" s="1" t="n">
        <v>0.0096</v>
      </c>
      <c r="G5" s="1" t="n">
        <v>792.5331</v>
      </c>
      <c r="H5" s="1" t="n">
        <v>792.5235</v>
      </c>
      <c r="I5" s="1" t="n">
        <v>13.4933974729242</v>
      </c>
      <c r="J5" s="1" t="n">
        <v>1.6379</v>
      </c>
      <c r="K5" s="1" t="n">
        <v>58.6725745432772</v>
      </c>
      <c r="L5" s="1" t="n">
        <v>0.0096</v>
      </c>
      <c r="M5" s="1" t="n">
        <v>2.1253</v>
      </c>
      <c r="N5" s="1" t="n">
        <v>0.4595</v>
      </c>
      <c r="O5" s="1" t="n">
        <v>5.1745</v>
      </c>
      <c r="P5" s="1" t="n">
        <v>4.715</v>
      </c>
    </row>
    <row r="6" customFormat="false" ht="12.8" hidden="false" customHeight="false" outlineLevel="0" collapsed="false">
      <c r="A6" s="1" t="s">
        <v>20</v>
      </c>
      <c r="B6" s="4" t="n">
        <v>11911.3709</v>
      </c>
      <c r="C6" s="5" t="n">
        <f aca="false">B6/$B$9</f>
        <v>0.210948756721513</v>
      </c>
      <c r="D6" s="1" t="n">
        <v>95</v>
      </c>
      <c r="E6" s="1" t="n">
        <v>95</v>
      </c>
      <c r="F6" s="1" t="n">
        <v>0.569</v>
      </c>
      <c r="G6" s="1" t="n">
        <v>2606.9164</v>
      </c>
      <c r="H6" s="1" t="n">
        <v>2606.3474</v>
      </c>
      <c r="I6" s="1" t="n">
        <v>125.382851578947</v>
      </c>
      <c r="J6" s="1" t="n">
        <v>32.4257</v>
      </c>
      <c r="K6" s="1" t="n">
        <v>339.206417167812</v>
      </c>
      <c r="L6" s="1" t="n">
        <v>0.569</v>
      </c>
      <c r="M6" s="1" t="n">
        <v>0.569</v>
      </c>
      <c r="N6" s="1" t="n">
        <v>8.74585</v>
      </c>
      <c r="O6" s="1" t="n">
        <v>81.5083</v>
      </c>
      <c r="P6" s="1" t="n">
        <v>72.76245</v>
      </c>
    </row>
    <row r="7" customFormat="false" ht="12.8" hidden="false" customHeight="false" outlineLevel="0" collapsed="false">
      <c r="A7" s="1" t="s">
        <v>21</v>
      </c>
      <c r="B7" s="4" t="n">
        <v>16095.2028</v>
      </c>
      <c r="C7" s="5" t="n">
        <f aca="false">B7/$B$9</f>
        <v>0.285043849977052</v>
      </c>
      <c r="D7" s="1" t="n">
        <v>120</v>
      </c>
      <c r="E7" s="1" t="n">
        <v>120</v>
      </c>
      <c r="F7" s="1" t="n">
        <v>0.0095</v>
      </c>
      <c r="G7" s="1" t="n">
        <v>970.9108</v>
      </c>
      <c r="H7" s="1" t="n">
        <v>970.9013</v>
      </c>
      <c r="I7" s="1" t="n">
        <v>134.12669</v>
      </c>
      <c r="J7" s="1" t="n">
        <v>67.1842</v>
      </c>
      <c r="K7" s="1" t="n">
        <v>181.350793694447</v>
      </c>
      <c r="L7" s="1" t="n">
        <v>0.0095</v>
      </c>
      <c r="M7" s="1" t="n">
        <v>0.0095</v>
      </c>
      <c r="N7" s="1" t="n">
        <v>23.64335</v>
      </c>
      <c r="O7" s="1" t="n">
        <v>160.74005</v>
      </c>
      <c r="P7" s="1" t="n">
        <v>137.0967</v>
      </c>
    </row>
    <row r="8" customFormat="false" ht="12.8" hidden="false" customHeight="false" outlineLevel="0" collapsed="false">
      <c r="A8" s="1" t="s">
        <v>22</v>
      </c>
      <c r="B8" s="4" t="n">
        <v>18295.2816</v>
      </c>
      <c r="C8" s="5" t="n">
        <f aca="false">B8/$B$9</f>
        <v>0.324006945950275</v>
      </c>
      <c r="D8" s="1" t="n">
        <v>150</v>
      </c>
      <c r="E8" s="1" t="n">
        <v>150</v>
      </c>
      <c r="F8" s="1" t="n">
        <v>0.1307</v>
      </c>
      <c r="G8" s="1" t="n">
        <v>1954.2488</v>
      </c>
      <c r="H8" s="1" t="n">
        <v>1954.1181</v>
      </c>
      <c r="I8" s="1" t="n">
        <v>121.968544</v>
      </c>
      <c r="J8" s="1" t="n">
        <v>34.69885</v>
      </c>
      <c r="K8" s="1" t="n">
        <v>253.393450994018</v>
      </c>
      <c r="L8" s="1" t="n">
        <v>0.1307</v>
      </c>
      <c r="M8" s="1" t="n">
        <v>0.1307</v>
      </c>
      <c r="N8" s="1" t="n">
        <v>4.341</v>
      </c>
      <c r="O8" s="1" t="n">
        <v>99.3819</v>
      </c>
      <c r="P8" s="1" t="n">
        <v>95.0409</v>
      </c>
    </row>
    <row r="9" customFormat="false" ht="12.8" hidden="false" customHeight="false" outlineLevel="0" collapsed="false">
      <c r="A9" s="6" t="s">
        <v>23</v>
      </c>
      <c r="B9" s="4" t="n">
        <f aca="false">SUM(B2:B8)</f>
        <v>56465.708</v>
      </c>
      <c r="C9" s="5" t="n">
        <f aca="false">SUM(C2:C8)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2025-03-25T12:26:37Z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